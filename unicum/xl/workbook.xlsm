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ph/Desktop/unicum-master-3/unicum/xl/"/>
    </mc:Choice>
  </mc:AlternateContent>
  <bookViews>
    <workbookView xWindow="0" yWindow="440" windowWidth="25600" windowHeight="15480" tabRatio="500"/>
  </bookViews>
  <sheets>
    <sheet name="Main" sheetId="1" r:id="rId1"/>
    <sheet name="Template" sheetId="2" state="hidden" r:id="rId2"/>
    <sheet name="Setup" sheetId="4" state="hidden" r:id="rId3"/>
  </sheets>
  <calcPr calcId="145621" calcMode="manual" calcCompleted="0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8" i="1" l="1"/>
  <c r="C7" i="1"/>
  <c r="C35" i="1" a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B22" i="1" a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B29" i="1"/>
  <c r="C29" i="1"/>
  <c r="D29" i="1"/>
  <c r="E29" i="1"/>
  <c r="C19" i="1"/>
  <c r="C9" i="1"/>
  <c r="C12" i="1"/>
  <c r="C11" i="1"/>
  <c r="C13" i="1"/>
  <c r="C10" i="1"/>
  <c r="F9" i="1"/>
  <c r="C32" i="1"/>
</calcChain>
</file>

<file path=xl/sharedStrings.xml><?xml version="1.0" encoding="utf-8"?>
<sst xmlns="http://schemas.openxmlformats.org/spreadsheetml/2006/main" count="45" uniqueCount="30">
  <si>
    <t>Name</t>
  </si>
  <si>
    <t>Class</t>
  </si>
  <si>
    <t>startSession(..)</t>
  </si>
  <si>
    <t>modifyObject(..)</t>
  </si>
  <si>
    <t>getObjectProperty(..)</t>
  </si>
  <si>
    <t>MY3</t>
  </si>
  <si>
    <t>Source</t>
  </si>
  <si>
    <t>File</t>
  </si>
  <si>
    <t>AllProperties</t>
  </si>
  <si>
    <t>WarningLevel</t>
  </si>
  <si>
    <t>WARNING</t>
  </si>
  <si>
    <t>ShowNumber</t>
  </si>
  <si>
    <t>TemplateSheet</t>
  </si>
  <si>
    <t>TEMPLATE</t>
  </si>
  <si>
    <t>TopLeftCell</t>
  </si>
  <si>
    <t>B7</t>
  </si>
  <si>
    <t>Collar</t>
  </si>
  <si>
    <t>IRSwap</t>
  </si>
  <si>
    <t>BottomRightCell</t>
  </si>
  <si>
    <t>Z200</t>
  </si>
  <si>
    <t>MsgTitel</t>
  </si>
  <si>
    <t>core-workbook</t>
  </si>
  <si>
    <t>removeObject(C8)</t>
  </si>
  <si>
    <t>YieldCurve</t>
  </si>
  <si>
    <t>NewName</t>
  </si>
  <si>
    <t>MY</t>
  </si>
  <si>
    <t>createObject(..)</t>
  </si>
  <si>
    <t>createObjectFromRange(B15:C17)</t>
  </si>
  <si>
    <t>writeObjectToRange(C8)</t>
  </si>
  <si>
    <t>getObjectCache()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</si>
</sst>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ourier New"/>
      <family val="3"/>
    </font>
    <font>
      <b/>
      <sz val="12"/>
      <name val="Courier New"/>
      <family val="3"/>
    </font>
    <font>
      <sz val="12"/>
      <color indexed="12"/>
      <name val="Courier New"/>
      <family val="3"/>
    </font>
    <font>
      <b/>
      <sz val="12"/>
      <color indexed="8"/>
      <name val="Courier New"/>
      <family val="3"/>
    </font>
    <font>
      <sz val="10"/>
      <name val="Monaco"/>
      <family val="2"/>
    </font>
    <font>
      <b/>
      <sz val="10"/>
      <name val="Monaco"/>
      <family val="2"/>
    </font>
    <font>
      <sz val="10"/>
      <color indexed="12"/>
      <name val="Monaco"/>
      <family val="2"/>
    </font>
    <font>
      <b/>
      <sz val="10"/>
      <color indexed="8"/>
      <name val="Monaco"/>
      <family val="2"/>
    </font>
    <font>
      <sz val="10"/>
      <color rgb="FF0000D4"/>
      <name val="Monaco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CD9FB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6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6" fillId="2" borderId="0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0" fontId="4" fillId="4" borderId="0" xfId="0" quotePrefix="1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right" vertical="center"/>
    </xf>
    <xf numFmtId="0" fontId="8" fillId="4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horizontal="right" vertical="center"/>
    </xf>
    <xf numFmtId="0" fontId="8" fillId="3" borderId="0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right" vertical="center"/>
    </xf>
    <xf numFmtId="0" fontId="8" fillId="3" borderId="2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0" fontId="11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left" vertical="center"/>
    </xf>
    <xf numFmtId="0" fontId="10" fillId="2" borderId="4" xfId="0" applyFont="1" applyFill="1" applyBorder="1" applyAlignment="1">
      <alignment vertical="center"/>
    </xf>
    <xf numFmtId="0" fontId="11" fillId="2" borderId="5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0" fontId="12" fillId="3" borderId="2" xfId="0" applyFont="1" applyFill="1" applyBorder="1" applyAlignment="1">
      <alignment vertical="center"/>
    </xf>
    <xf numFmtId="0" fontId="12" fillId="2" borderId="4" xfId="0" applyFont="1" applyFill="1" applyBorder="1" applyAlignment="1">
      <alignment horizontal="left" vertical="center"/>
    </xf>
    <xf numFmtId="0" fontId="12" fillId="4" borderId="0" xfId="0" quotePrefix="1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</cellXfs>
  <cellStyles count="66">
    <cellStyle name="Besuchter Link" xfId="1" builtinId="9" hidden="1"/>
    <cellStyle name="Besuchter Link" xfId="2" builtinId="9" hidden="1"/>
    <cellStyle name="Besuchter Link" xfId="3" builtinId="9" hidden="1"/>
    <cellStyle name="Besuchter Link" xfId="4" builtinId="9" hidden="1"/>
    <cellStyle name="Besuchter Link" xfId="5" builtinId="9" hidden="1"/>
    <cellStyle name="Besuchter Link" xfId="6" builtinId="9" hidden="1"/>
    <cellStyle name="Besuchter Link" xfId="7" builtinId="9" hidden="1"/>
    <cellStyle name="Besuchter Link" xfId="8" builtinId="9" hidden="1"/>
    <cellStyle name="Besuchter Link" xfId="9" builtinId="9" hidden="1"/>
    <cellStyle name="Besuchter Link" xfId="10" builtinId="9" hidden="1"/>
    <cellStyle name="Besuchter Link" xfId="11" builtinId="9" hidden="1"/>
    <cellStyle name="Besuchter Link" xfId="12" builtinId="9" hidden="1"/>
    <cellStyle name="Besuchter Link" xfId="13" builtinId="9" hidden="1"/>
    <cellStyle name="Besuchter Link" xfId="14" builtinId="9" hidden="1"/>
    <cellStyle name="Besuchter Link" xfId="15" builtinId="9" hidden="1"/>
    <cellStyle name="Besuchter Link" xfId="16" builtinId="9" hidden="1"/>
    <cellStyle name="Besuchter Link" xfId="17" builtinId="9" hidden="1"/>
    <cellStyle name="Besuchter Link" xfId="18" builtinId="9" hidden="1"/>
    <cellStyle name="Besuchter Link" xfId="19" builtinId="9" hidden="1"/>
    <cellStyle name="Besuchter Link" xfId="21" builtinId="9" hidden="1"/>
    <cellStyle name="Besuchter Link" xfId="23" builtinId="9" hidden="1"/>
    <cellStyle name="Besuchter Link" xfId="25" builtinId="9" hidden="1"/>
    <cellStyle name="Besuchter Link" xfId="27" builtinId="9" hidden="1"/>
    <cellStyle name="Besuchter Link" xfId="29" builtinId="9" hidden="1"/>
    <cellStyle name="Besuchter Link" xfId="31" builtinId="9" hidden="1"/>
    <cellStyle name="Besuchter Link" xfId="33" builtinId="9" hidden="1"/>
    <cellStyle name="Besuchter Link" xfId="35" builtinId="9" hidden="1"/>
    <cellStyle name="Besuchter Link" xfId="37" builtinId="9" hidden="1"/>
    <cellStyle name="Besuchter Link" xfId="39" builtinId="9" hidden="1"/>
    <cellStyle name="Besuchter Link" xfId="41" builtinId="9" hidden="1"/>
    <cellStyle name="Besuchter Link" xfId="43" builtinId="9" hidden="1"/>
    <cellStyle name="Besuchter Link" xfId="45" builtinId="9" hidden="1"/>
    <cellStyle name="Besuchter Link" xfId="47" builtinId="9" hidden="1"/>
    <cellStyle name="Besuchter Link" xfId="49" builtinId="9" hidden="1"/>
    <cellStyle name="Besuchter Link" xfId="51" builtinId="9" hidden="1"/>
    <cellStyle name="Besuchter Link" xfId="53" builtinId="9" hidden="1"/>
    <cellStyle name="Besuchter Link" xfId="55" builtinId="9" hidden="1"/>
    <cellStyle name="Besuchter Link" xfId="57" builtinId="9" hidden="1"/>
    <cellStyle name="Besuchter Link" xfId="59" builtinId="9" hidden="1"/>
    <cellStyle name="Besuchter Link" xfId="61" builtinId="9" hidden="1"/>
    <cellStyle name="Besuchter Link" xfId="63" builtinId="9" hidden="1"/>
    <cellStyle name="Besuchter Link" xfId="65" builtinId="9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Stand." xfId="0" builtinId="0"/>
  </cellStyles>
  <dxfs count="0"/>
  <tableStyles count="0" defaultTableStyle="TableStyleMedium9" defaultPivotStyle="PivotStyleMedium7"/>
  <colors>
    <mruColors>
      <color rgb="FF0000D4"/>
      <color rgb="FF4DA2D6"/>
      <color rgb="FFBCD9FB"/>
      <color rgb="FF083478"/>
      <color rgb="FFE10215"/>
      <color rgb="FFBCDAFC"/>
      <color rgb="FF9FB6D3"/>
      <color rgb="FFE7E7E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List" dx="16" noThreeD="1" sel="0" val="9"/>
</file>

<file path=xl/ctrlProps/ctrlProp2.xml><?xml version="1.0" encoding="utf-8"?>
<formControlPr xmlns="http://schemas.microsoft.com/office/spreadsheetml/2009/9/main" objectType="List" dx="16" noThreeD="1" sel="0" val="9"/>
</file>

<file path=xl/ctrlProps/ctrlProp3.xml><?xml version="1.0" encoding="utf-8"?>
<formControlPr xmlns="http://schemas.microsoft.com/office/spreadsheetml/2009/9/main" objectType="List" dx="16" noThreeD="1" sel="0" val="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3</xdr:row>
      <xdr:rowOff>184150</xdr:rowOff>
    </xdr:to>
    <xdr:pic macro="[0]!ClickLogo">
      <xdr:nvPicPr>
        <xdr:cNvPr id="3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127821</xdr:rowOff>
    </xdr:from>
    <xdr:to>
      <xdr:col>1</xdr:col>
      <xdr:colOff>379227</xdr:colOff>
      <xdr:row>3</xdr:row>
      <xdr:rowOff>188360</xdr:rowOff>
    </xdr:to>
    <xdr:grpSp>
      <xdr:nvGrpSpPr>
        <xdr:cNvPr id="25" name="RedButton" hidden="1"/>
        <xdr:cNvGrpSpPr/>
      </xdr:nvGrpSpPr>
      <xdr:grpSpPr>
        <a:xfrm>
          <a:off x="127000" y="127821"/>
          <a:ext cx="455427" cy="670139"/>
          <a:chOff x="63500" y="64321"/>
          <a:chExt cx="455427" cy="670139"/>
        </a:xfrm>
      </xdr:grpSpPr>
      <xdr:pic macro="[0]!ClickRed">
        <xdr:nvPicPr>
          <xdr:cNvPr id="13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4" name="Textfeld 3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127820</xdr:rowOff>
    </xdr:from>
    <xdr:to>
      <xdr:col>1</xdr:col>
      <xdr:colOff>902561</xdr:colOff>
      <xdr:row>3</xdr:row>
      <xdr:rowOff>188360</xdr:rowOff>
    </xdr:to>
    <xdr:grpSp>
      <xdr:nvGrpSpPr>
        <xdr:cNvPr id="24" name="LightButton" hidden="1"/>
        <xdr:cNvGrpSpPr/>
      </xdr:nvGrpSpPr>
      <xdr:grpSpPr>
        <a:xfrm>
          <a:off x="616588" y="127820"/>
          <a:ext cx="489173" cy="670140"/>
          <a:chOff x="553088" y="64320"/>
          <a:chExt cx="489173" cy="670140"/>
        </a:xfrm>
      </xdr:grpSpPr>
      <xdr:pic macro="[0]!ClickLight">
        <xdr:nvPicPr>
          <xdr:cNvPr id="12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16" name="Textfeld 15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127822</xdr:rowOff>
    </xdr:from>
    <xdr:to>
      <xdr:col>1</xdr:col>
      <xdr:colOff>1440345</xdr:colOff>
      <xdr:row>3</xdr:row>
      <xdr:rowOff>188360</xdr:rowOff>
    </xdr:to>
    <xdr:grpSp>
      <xdr:nvGrpSpPr>
        <xdr:cNvPr id="23" name="YellowButton" hidden="1"/>
        <xdr:cNvGrpSpPr/>
      </xdr:nvGrpSpPr>
      <xdr:grpSpPr>
        <a:xfrm>
          <a:off x="1094804" y="127822"/>
          <a:ext cx="548741" cy="670138"/>
          <a:chOff x="1031304" y="64322"/>
          <a:chExt cx="548741" cy="670138"/>
        </a:xfrm>
      </xdr:grpSpPr>
      <xdr:pic macro="[0]!ClickYellow">
        <xdr:nvPicPr>
          <xdr:cNvPr id="14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7" name="Textfeld 1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128226</xdr:rowOff>
    </xdr:from>
    <xdr:to>
      <xdr:col>1</xdr:col>
      <xdr:colOff>1937269</xdr:colOff>
      <xdr:row>3</xdr:row>
      <xdr:rowOff>188360</xdr:rowOff>
    </xdr:to>
    <xdr:grpSp>
      <xdr:nvGrpSpPr>
        <xdr:cNvPr id="22" name="GreyButton" hidden="1"/>
        <xdr:cNvGrpSpPr/>
      </xdr:nvGrpSpPr>
      <xdr:grpSpPr>
        <a:xfrm>
          <a:off x="1655913" y="128226"/>
          <a:ext cx="484556" cy="669734"/>
          <a:chOff x="1592413" y="64726"/>
          <a:chExt cx="484556" cy="669734"/>
        </a:xfrm>
      </xdr:grpSpPr>
      <xdr:pic macro="[0]!ClickGrey">
        <xdr:nvPicPr>
          <xdr:cNvPr id="11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8" name="Textfeld 17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129447</xdr:rowOff>
    </xdr:from>
    <xdr:to>
      <xdr:col>1</xdr:col>
      <xdr:colOff>2464823</xdr:colOff>
      <xdr:row>3</xdr:row>
      <xdr:rowOff>188360</xdr:rowOff>
    </xdr:to>
    <xdr:grpSp>
      <xdr:nvGrpSpPr>
        <xdr:cNvPr id="21" name="DarkButton" hidden="1"/>
        <xdr:cNvGrpSpPr/>
      </xdr:nvGrpSpPr>
      <xdr:grpSpPr>
        <a:xfrm>
          <a:off x="2118962" y="129447"/>
          <a:ext cx="549061" cy="668513"/>
          <a:chOff x="2055462" y="65947"/>
          <a:chExt cx="549061" cy="668513"/>
        </a:xfrm>
      </xdr:grpSpPr>
      <xdr:pic macro="[0]!ClickDark">
        <xdr:nvPicPr>
          <xdr:cNvPr id="15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9" name="Textfeld 18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0</xdr:rowOff>
        </xdr:to>
        <xdr:sp macro="" textlink="">
          <xdr:nvSpPr>
            <xdr:cNvPr id="1025" name="ObjectCach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4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19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20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21" name="Textfeld 20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22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23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24" name="Textfeld 23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25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26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27" name="Textfeld 2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28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29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30" name="Textfeld 29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31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32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33" name="Textfeld 32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32</xdr:row>
          <xdr:rowOff>88900</xdr:rowOff>
        </xdr:to>
        <xdr:sp macro="" textlink="">
          <xdr:nvSpPr>
            <xdr:cNvPr id="2049" name="ObjectCach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2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3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4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5" name="Textfeld 4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6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7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8" name="Textfeld 7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9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10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1" name="Textfeld 10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12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13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4" name="Textfeld 13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15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16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7" name="Textfeld 16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88900</xdr:rowOff>
        </xdr:to>
        <xdr:sp macro="" textlink="">
          <xdr:nvSpPr>
            <xdr:cNvPr id="3073" name="ObjectCach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 enableFormatConditionsCalculation="0">
    <tabColor rgb="FFBCD9FB"/>
  </sheetPr>
  <dimension ref="A1:EQ87"/>
  <sheetViews>
    <sheetView tabSelected="1" workbookViewId="0">
      <selection activeCell="E22" sqref="E22"/>
    </sheetView>
  </sheetViews>
  <sheetFormatPr baseColWidth="10" defaultColWidth="25.6640625" defaultRowHeight="16.5" customHeight="1" x14ac:dyDescent="0.2"/>
  <cols>
    <col min="1" max="1" width="2.6640625" style="23" customWidth="1"/>
    <col min="2" max="2" width="34.33203125" style="27" customWidth="1"/>
    <col min="3" max="5" width="25.6640625" style="30"/>
    <col min="6" max="16384" width="25.6640625" style="28"/>
  </cols>
  <sheetData>
    <row r="1" spans="1:147" s="16" customFormat="1" ht="16.5" customHeight="1" x14ac:dyDescent="0.2">
      <c r="B1" s="17"/>
      <c r="C1" s="31"/>
      <c r="D1" s="31"/>
      <c r="E1" s="31"/>
    </row>
    <row r="2" spans="1:147" s="16" customFormat="1" ht="16.5" customHeight="1" x14ac:dyDescent="0.2">
      <c r="B2" s="17"/>
      <c r="C2" s="31"/>
      <c r="D2" s="31"/>
      <c r="E2" s="31"/>
    </row>
    <row r="3" spans="1:147" s="16" customFormat="1" ht="16.5" customHeight="1" x14ac:dyDescent="0.2">
      <c r="B3" s="17"/>
      <c r="C3" s="31"/>
      <c r="D3" s="35"/>
      <c r="E3" s="31"/>
    </row>
    <row r="4" spans="1:147" s="18" customFormat="1" ht="16.5" customHeight="1" x14ac:dyDescent="0.2">
      <c r="B4" s="19"/>
      <c r="C4" s="32"/>
      <c r="D4" s="32"/>
      <c r="E4" s="32"/>
    </row>
    <row r="5" spans="1:147" s="22" customFormat="1" ht="16.5" customHeight="1" thickBot="1" x14ac:dyDescent="0.25">
      <c r="A5" s="20"/>
      <c r="B5" s="21"/>
      <c r="C5" s="33"/>
      <c r="D5" s="33"/>
      <c r="E5" s="33"/>
    </row>
    <row r="6" spans="1:147" s="26" customFormat="1" ht="16.5" customHeight="1" x14ac:dyDescent="0.2">
      <c r="A6" s="23"/>
      <c r="B6" s="24"/>
      <c r="C6" s="34"/>
      <c r="D6" s="36"/>
      <c r="E6" s="36"/>
      <c r="O6" s="25"/>
      <c r="AA6" s="25"/>
      <c r="AM6" s="25"/>
      <c r="AY6" s="25"/>
      <c r="BK6" s="25"/>
      <c r="BW6" s="25"/>
      <c r="CI6" s="25"/>
      <c r="CU6" s="25"/>
      <c r="DG6" s="25"/>
      <c r="DS6" s="25"/>
      <c r="EE6" s="25"/>
      <c r="EQ6" s="25"/>
    </row>
    <row r="7" spans="1:147" ht="16.5" customHeight="1" x14ac:dyDescent="0.2">
      <c r="B7" s="27" t="s">
        <v>2</v>
      </c>
      <c r="C7" s="30" t="str">
        <f ca="1">startSession()</f>
        <v>http://127.0.0.1:2699</v>
      </c>
      <c r="O7" s="29"/>
      <c r="AA7" s="29" t="s">
        <v>6</v>
      </c>
      <c r="AB7" s="28" t="s">
        <v>7</v>
      </c>
      <c r="AM7" s="29"/>
      <c r="AY7" s="29"/>
      <c r="BK7" s="29"/>
      <c r="BW7" s="29"/>
      <c r="CI7" s="29"/>
      <c r="CU7" s="29"/>
      <c r="DG7" s="29"/>
      <c r="DS7" s="29"/>
      <c r="EE7" s="29"/>
      <c r="EQ7" s="29"/>
    </row>
    <row r="8" spans="1:147" ht="16.5" customHeight="1" x14ac:dyDescent="0.2">
      <c r="B8" s="27" t="s">
        <v>26</v>
      </c>
      <c r="C8" s="30" t="str">
        <f ca="1">createObject(D8, "MY")</f>
        <v>MY</v>
      </c>
      <c r="D8" s="30" t="s">
        <v>23</v>
      </c>
      <c r="F8" s="28" t="s">
        <v>25</v>
      </c>
      <c r="AA8" s="28" t="s">
        <v>18</v>
      </c>
      <c r="AB8" s="28" t="s">
        <v>19</v>
      </c>
    </row>
    <row r="9" spans="1:147" ht="16.5" customHeight="1" x14ac:dyDescent="0.2">
      <c r="B9" s="27" t="s">
        <v>3</v>
      </c>
      <c r="C9" s="30" t="str">
        <f ca="1">modifyObject(C8,"Currency", "EUR")</f>
        <v>MY</v>
      </c>
      <c r="F9" s="30" t="str">
        <f ca="1">modifyObject(F8,"Name", "MY")</f>
        <v>MY</v>
      </c>
      <c r="AA9" s="28" t="s">
        <v>8</v>
      </c>
      <c r="AB9" s="28" t="b">
        <v>0</v>
      </c>
    </row>
    <row r="10" spans="1:147" ht="16.5" customHeight="1" x14ac:dyDescent="0.2">
      <c r="B10" s="27" t="s">
        <v>4</v>
      </c>
      <c r="C10" s="30" t="str">
        <f ca="1">getObjectProperty(C9, "Name")</f>
        <v>MY</v>
      </c>
      <c r="AA10" s="28" t="s">
        <v>9</v>
      </c>
      <c r="AB10" s="28" t="s">
        <v>10</v>
      </c>
    </row>
    <row r="11" spans="1:147" ht="16.5" customHeight="1" x14ac:dyDescent="0.2">
      <c r="B11" s="27" t="s">
        <v>4</v>
      </c>
      <c r="C11" s="30" t="str">
        <f ca="1">getObjectProperty("MY", "Folder")</f>
        <v>KeyError: Object MY does not exists.</v>
      </c>
      <c r="AA11" s="28" t="s">
        <v>11</v>
      </c>
      <c r="AB11" s="28">
        <v>1</v>
      </c>
    </row>
    <row r="12" spans="1:147" ht="16.5" customHeight="1" x14ac:dyDescent="0.2">
      <c r="B12" s="27" t="s">
        <v>4</v>
      </c>
      <c r="C12" s="30" t="str">
        <f ca="1">getObjectProperty("NewName", "Class")</f>
        <v>KeyError: Object NewName does not exists.</v>
      </c>
      <c r="AA12" s="28" t="s">
        <v>12</v>
      </c>
      <c r="AB12" s="28" t="s">
        <v>13</v>
      </c>
    </row>
    <row r="13" spans="1:147" ht="16.5" customHeight="1" x14ac:dyDescent="0.2">
      <c r="B13" s="27" t="s">
        <v>4</v>
      </c>
      <c r="C13" s="30" t="str">
        <f ca="1">getObjectProperty("MY", "Class")</f>
        <v>YieldCurve</v>
      </c>
      <c r="AA13" s="28" t="s">
        <v>16</v>
      </c>
      <c r="AB13" s="28">
        <v>1</v>
      </c>
    </row>
    <row r="15" spans="1:147" ht="16.5" customHeight="1" x14ac:dyDescent="0.2">
      <c r="B15" s="27" t="s">
        <v>0</v>
      </c>
      <c r="C15" s="30" t="s">
        <v>5</v>
      </c>
    </row>
    <row r="16" spans="1:147" ht="16.5" customHeight="1" x14ac:dyDescent="0.2">
      <c r="B16" s="27" t="s">
        <v>1</v>
      </c>
      <c r="C16" s="30" t="s">
        <v>17</v>
      </c>
    </row>
    <row r="19" spans="2:5" ht="16.5" customHeight="1" x14ac:dyDescent="0.2">
      <c r="B19" s="27" t="s">
        <v>27</v>
      </c>
      <c r="C19" s="30" t="str">
        <f ca="1">createObjectFromRange(B15:D17)</f>
        <v>MY3</v>
      </c>
    </row>
    <row r="21" spans="2:5" ht="16.5" customHeight="1" x14ac:dyDescent="0.2">
      <c r="B21" s="27" t="s">
        <v>28</v>
      </c>
    </row>
    <row r="22" spans="2:5" ht="16.5" customHeight="1" x14ac:dyDescent="0.2">
      <c r="B22" s="27" t="str">
        <f t="array" aca="1" ref="B22:E29" ca="1">writeObjectToRange(C19)</f>
        <v>Name</v>
      </c>
      <c r="C22" s="30" t="str">
        <f ca="1"/>
        <v>MY3</v>
      </c>
      <c r="D22" s="30" t="str">
        <f ca="1"/>
        <v/>
      </c>
      <c r="E22" s="30" t="str">
        <f ca="1"/>
        <v/>
      </c>
    </row>
    <row r="23" spans="2:5" ht="16.5" customHeight="1" x14ac:dyDescent="0.2">
      <c r="B23" s="27" t="str">
        <f ca="1"/>
        <v>Class</v>
      </c>
      <c r="C23" s="30" t="str">
        <f ca="1"/>
        <v>IRSwap</v>
      </c>
      <c r="D23" s="30" t="str">
        <f ca="1"/>
        <v/>
      </c>
      <c r="E23" s="30" t="str">
        <f ca="1"/>
        <v/>
      </c>
    </row>
    <row r="24" spans="2:5" ht="16.5" customHeight="1" x14ac:dyDescent="0.2">
      <c r="B24" s="27" t="str">
        <f ca="1"/>
        <v>Module</v>
      </c>
      <c r="C24" s="30" t="str">
        <f ca="1"/>
        <v>business</v>
      </c>
      <c r="D24" s="30" t="str">
        <f ca="1"/>
        <v/>
      </c>
      <c r="E24" s="30" t="str">
        <f ca="1"/>
        <v/>
      </c>
    </row>
    <row r="25" spans="2:5" ht="16.5" customHeight="1" x14ac:dyDescent="0.2">
      <c r="B25" s="27" t="str">
        <f ca="1"/>
        <v>Currency</v>
      </c>
      <c r="C25" s="30" t="str">
        <f ca="1"/>
        <v>Currency</v>
      </c>
      <c r="D25" s="30" t="str">
        <f ca="1"/>
        <v/>
      </c>
      <c r="E25" s="30" t="str">
        <f ca="1"/>
        <v/>
      </c>
    </row>
    <row r="26" spans="2:5" ht="16.5" customHeight="1" x14ac:dyDescent="0.2">
      <c r="B26" s="27" t="str">
        <f ca="1"/>
        <v>Origin</v>
      </c>
      <c r="C26" s="30" t="str">
        <f ca="1"/>
        <v>20151231</v>
      </c>
      <c r="D26" s="30" t="str">
        <f ca="1"/>
        <v/>
      </c>
      <c r="E26" s="30" t="str">
        <f ca="1"/>
        <v/>
      </c>
    </row>
    <row r="27" spans="2:5" ht="16.5" customHeight="1" x14ac:dyDescent="0.2">
      <c r="B27" s="27" t="str">
        <f ca="1"/>
        <v>Notional</v>
      </c>
      <c r="C27" s="30">
        <f ca="1"/>
        <v>1000000</v>
      </c>
      <c r="D27" s="30" t="str">
        <f ca="1"/>
        <v/>
      </c>
      <c r="E27" s="30" t="str">
        <f ca="1"/>
        <v/>
      </c>
    </row>
    <row r="28" spans="2:5" ht="16.5" customHeight="1" x14ac:dyDescent="0.2">
      <c r="B28" s="27" t="str">
        <f ca="1"/>
        <v>DetailList</v>
      </c>
      <c r="C28" s="30" t="str">
        <f ca="1"/>
        <v/>
      </c>
      <c r="D28" s="30" t="str">
        <f ca="1"/>
        <v/>
      </c>
      <c r="E28" s="30" t="str">
        <f ca="1"/>
        <v/>
      </c>
    </row>
    <row r="29" spans="2:5" ht="16.5" customHeight="1" x14ac:dyDescent="0.2">
      <c r="B29" s="27" t="str">
        <f ca="1"/>
        <v/>
      </c>
      <c r="C29" s="30" t="str">
        <f ca="1"/>
        <v/>
      </c>
      <c r="D29" s="30" t="str">
        <f ca="1"/>
        <v/>
      </c>
      <c r="E29" s="30" t="str">
        <f ca="1"/>
        <v/>
      </c>
    </row>
    <row r="31" spans="2:5" ht="16.5" customHeight="1" x14ac:dyDescent="0.2">
      <c r="B31" s="27" t="s">
        <v>26</v>
      </c>
      <c r="C31" s="30" t="s">
        <v>24</v>
      </c>
    </row>
    <row r="32" spans="2:5" ht="16.5" customHeight="1" x14ac:dyDescent="0.2">
      <c r="B32" s="27" t="s">
        <v>22</v>
      </c>
      <c r="C32" s="30" t="str">
        <f ca="1">removeObject(C31)</f>
        <v>NewName</v>
      </c>
    </row>
    <row r="35" spans="2:3" ht="16.5" customHeight="1" x14ac:dyDescent="0.2">
      <c r="B35" s="27" t="s">
        <v>29</v>
      </c>
      <c r="C35" s="30" t="str">
        <f t="array" aca="1" ref="C35:C87" ca="1">getObjectCache(TRUE)</f>
        <v>EUR-EURIBOR-1W</v>
      </c>
    </row>
    <row r="36" spans="2:3" ht="16.5" customHeight="1" x14ac:dyDescent="0.2">
      <c r="C36" s="30" t="str">
        <f ca="1"/>
        <v>EUR-EURIBOR-9M</v>
      </c>
    </row>
    <row r="37" spans="2:3" ht="16.5" customHeight="1" x14ac:dyDescent="0.2">
      <c r="C37" s="30" t="str">
        <f ca="1"/>
        <v>JPY-LIBOR-ON</v>
      </c>
    </row>
    <row r="38" spans="2:3" ht="16.5" customHeight="1" x14ac:dyDescent="0.2">
      <c r="C38" s="30" t="str">
        <f ca="1"/>
        <v>EUR-LIBOR-3M</v>
      </c>
    </row>
    <row r="39" spans="2:3" ht="16.5" customHeight="1" x14ac:dyDescent="0.2">
      <c r="C39" s="30" t="str">
        <f ca="1"/>
        <v>EUR-LIBOR-1M</v>
      </c>
    </row>
    <row r="40" spans="2:3" ht="16.5" customHeight="1" x14ac:dyDescent="0.2">
      <c r="C40" s="30" t="str">
        <f ca="1"/>
        <v>ergkm</v>
      </c>
    </row>
    <row r="41" spans="2:3" ht="16.5" customHeight="1" x14ac:dyDescent="0.2">
      <c r="C41" s="30" t="str">
        <f ca="1"/>
        <v>USD-LIBOR-2M</v>
      </c>
    </row>
    <row r="42" spans="2:3" ht="16.5" customHeight="1" x14ac:dyDescent="0.2">
      <c r="C42" s="30" t="str">
        <f ca="1"/>
        <v>GBP-LIBOR-2M</v>
      </c>
    </row>
    <row r="43" spans="2:3" ht="16.5" customHeight="1" x14ac:dyDescent="0.2">
      <c r="C43" s="30" t="str">
        <f ca="1"/>
        <v>JPY-LIBOR-12M</v>
      </c>
    </row>
    <row r="44" spans="2:3" ht="16.5" customHeight="1" x14ac:dyDescent="0.2">
      <c r="C44" s="30" t="str">
        <f ca="1"/>
        <v>EUR-EURIBOR-1M</v>
      </c>
    </row>
    <row r="45" spans="2:3" ht="16.5" customHeight="1" x14ac:dyDescent="0.2">
      <c r="C45" s="30" t="str">
        <f ca="1"/>
        <v>JPY-LIBOR-1W</v>
      </c>
    </row>
    <row r="46" spans="2:3" ht="16.5" customHeight="1" x14ac:dyDescent="0.2">
      <c r="C46" s="30" t="str">
        <f ca="1"/>
        <v>4rqwrqwf</v>
      </c>
    </row>
    <row r="47" spans="2:3" ht="16.5" customHeight="1" x14ac:dyDescent="0.2">
      <c r="C47" s="30" t="str">
        <f ca="1"/>
        <v>USD-LIBOR-6M</v>
      </c>
    </row>
    <row r="48" spans="2:3" ht="16.5" customHeight="1" x14ac:dyDescent="0.2">
      <c r="C48" s="30" t="str">
        <f ca="1"/>
        <v>GBP-LIBOR-6M</v>
      </c>
    </row>
    <row r="49" spans="3:3" ht="16.5" customHeight="1" x14ac:dyDescent="0.2">
      <c r="C49" s="30" t="str">
        <f ca="1"/>
        <v>JPY-LIBOR-6M</v>
      </c>
    </row>
    <row r="50" spans="3:3" ht="16.5" customHeight="1" x14ac:dyDescent="0.2">
      <c r="C50" s="30" t="str">
        <f ca="1"/>
        <v>CHF-LIBOR-2M</v>
      </c>
    </row>
    <row r="51" spans="3:3" ht="16.5" customHeight="1" x14ac:dyDescent="0.2">
      <c r="C51" s="30" t="str">
        <f ca="1"/>
        <v>USD-LIBOR-ON</v>
      </c>
    </row>
    <row r="52" spans="3:3" ht="16.5" customHeight="1" x14ac:dyDescent="0.2">
      <c r="C52" s="30" t="str">
        <f ca="1"/>
        <v>EUR-LIBOR-1W</v>
      </c>
    </row>
    <row r="53" spans="3:3" ht="16.5" customHeight="1" x14ac:dyDescent="0.2">
      <c r="C53" s="30" t="str">
        <f ca="1"/>
        <v>JPY-LIBOR-2M</v>
      </c>
    </row>
    <row r="54" spans="3:3" ht="16.5" customHeight="1" x14ac:dyDescent="0.2">
      <c r="C54" s="30" t="str">
        <f ca="1"/>
        <v>EUR-LIBOR-12M</v>
      </c>
    </row>
    <row r="55" spans="3:3" ht="16.5" customHeight="1" x14ac:dyDescent="0.2">
      <c r="C55" s="30" t="str">
        <f ca="1"/>
        <v>CHF-LIBOR-6M</v>
      </c>
    </row>
    <row r="56" spans="3:3" ht="16.5" customHeight="1" x14ac:dyDescent="0.2">
      <c r="C56" s="30" t="str">
        <f ca="1"/>
        <v>EUR-EURIBOR-3M</v>
      </c>
    </row>
    <row r="57" spans="3:3" ht="16.5" customHeight="1" x14ac:dyDescent="0.2">
      <c r="C57" s="30" t="str">
        <f ca="1"/>
        <v>USD-LIBOR-12M</v>
      </c>
    </row>
    <row r="58" spans="3:3" ht="16.5" customHeight="1" x14ac:dyDescent="0.2">
      <c r="C58" s="30" t="str">
        <f ca="1"/>
        <v>EUR-LIBOR-6M</v>
      </c>
    </row>
    <row r="59" spans="3:3" ht="16.5" customHeight="1" x14ac:dyDescent="0.2">
      <c r="C59" s="30" t="str">
        <f ca="1"/>
        <v>GBP-LIBOR-12M</v>
      </c>
    </row>
    <row r="60" spans="3:3" ht="16.5" customHeight="1" x14ac:dyDescent="0.2">
      <c r="C60" s="30" t="str">
        <f ca="1"/>
        <v>GBP-LIBOR-1W</v>
      </c>
    </row>
    <row r="61" spans="3:3" ht="16.5" customHeight="1" x14ac:dyDescent="0.2">
      <c r="C61" s="30" t="str">
        <f ca="1"/>
        <v>EUR-EURIBOR-6M</v>
      </c>
    </row>
    <row r="62" spans="3:3" ht="16.5" customHeight="1" x14ac:dyDescent="0.2">
      <c r="C62" s="30" t="str">
        <f ca="1"/>
        <v>EUR-LIBOR-2M</v>
      </c>
    </row>
    <row r="63" spans="3:3" ht="16.5" customHeight="1" x14ac:dyDescent="0.2">
      <c r="C63" s="30" t="str">
        <f ca="1"/>
        <v>EUR-EURIBOR-2W</v>
      </c>
    </row>
    <row r="64" spans="3:3" ht="16.5" customHeight="1" x14ac:dyDescent="0.2">
      <c r="C64" s="30" t="str">
        <f ca="1"/>
        <v>CHF-LIBOR-ON</v>
      </c>
    </row>
    <row r="65" spans="3:3" ht="16.5" customHeight="1" x14ac:dyDescent="0.2">
      <c r="C65" s="30" t="str">
        <f ca="1"/>
        <v>EUR-EURIBOR-2M</v>
      </c>
    </row>
    <row r="66" spans="3:3" ht="16.5" customHeight="1" x14ac:dyDescent="0.2">
      <c r="C66" s="30" t="str">
        <f ca="1"/>
        <v>GBP-LIBOR-3M</v>
      </c>
    </row>
    <row r="67" spans="3:3" ht="16.5" customHeight="1" x14ac:dyDescent="0.2">
      <c r="C67" s="30" t="str">
        <f ca="1"/>
        <v>USD-LIBOR-3M</v>
      </c>
    </row>
    <row r="68" spans="3:3" ht="16.5" customHeight="1" x14ac:dyDescent="0.2">
      <c r="C68" s="30" t="str">
        <f ca="1"/>
        <v>EUR-EURIBOR-12M</v>
      </c>
    </row>
    <row r="69" spans="3:3" ht="16.5" customHeight="1" x14ac:dyDescent="0.2">
      <c r="C69" s="30" t="str">
        <f ca="1"/>
        <v>GBP-LIBOR-ON</v>
      </c>
    </row>
    <row r="70" spans="3:3" ht="16.5" customHeight="1" x14ac:dyDescent="0.2">
      <c r="C70" s="30" t="str">
        <f ca="1"/>
        <v>GBP-LIBOR-1M</v>
      </c>
    </row>
    <row r="71" spans="3:3" ht="16.5" customHeight="1" x14ac:dyDescent="0.2">
      <c r="C71" s="30" t="str">
        <f ca="1"/>
        <v>USD-LIBOR-1M</v>
      </c>
    </row>
    <row r="72" spans="3:3" ht="16.5" customHeight="1" x14ac:dyDescent="0.2">
      <c r="C72" s="30" t="str">
        <f ca="1"/>
        <v>CHF-LIBOR-3M</v>
      </c>
    </row>
    <row r="73" spans="3:3" ht="16.5" customHeight="1" x14ac:dyDescent="0.2">
      <c r="C73" s="30" t="str">
        <f ca="1"/>
        <v>JPY-LIBOR-1M</v>
      </c>
    </row>
    <row r="74" spans="3:3" ht="16.5" customHeight="1" x14ac:dyDescent="0.2">
      <c r="C74" s="30" t="str">
        <f ca="1"/>
        <v>CHF-LIBOR-1M</v>
      </c>
    </row>
    <row r="75" spans="3:3" ht="16.5" customHeight="1" x14ac:dyDescent="0.2">
      <c r="C75" s="30" t="str">
        <f ca="1"/>
        <v>JPY-LIBOR-3M</v>
      </c>
    </row>
    <row r="76" spans="3:3" ht="16.5" customHeight="1" x14ac:dyDescent="0.2">
      <c r="C76" s="30" t="str">
        <f ca="1"/>
        <v>CHF-LIBOR-1W</v>
      </c>
    </row>
    <row r="77" spans="3:3" ht="16.5" customHeight="1" x14ac:dyDescent="0.2">
      <c r="C77" s="30" t="str">
        <f ca="1"/>
        <v>EUR-LIBOR-ON</v>
      </c>
    </row>
    <row r="78" spans="3:3" ht="16.5" customHeight="1" x14ac:dyDescent="0.2">
      <c r="C78" s="30" t="str">
        <f ca="1"/>
        <v>CHF-LIBOR-12M</v>
      </c>
    </row>
    <row r="79" spans="3:3" ht="16.5" customHeight="1" x14ac:dyDescent="0.2">
      <c r="C79" s="30" t="str">
        <f ca="1"/>
        <v>USD-LIBOR-1W</v>
      </c>
    </row>
    <row r="80" spans="3:3" ht="16.5" customHeight="1" x14ac:dyDescent="0.2">
      <c r="C80" s="30" t="e">
        <f ca="1"/>
        <v>#N/A</v>
      </c>
    </row>
    <row r="81" spans="3:3" ht="16.5" customHeight="1" x14ac:dyDescent="0.2">
      <c r="C81" s="30" t="e">
        <f ca="1"/>
        <v>#N/A</v>
      </c>
    </row>
    <row r="82" spans="3:3" ht="16.5" customHeight="1" x14ac:dyDescent="0.2">
      <c r="C82" s="30" t="e">
        <f ca="1"/>
        <v>#N/A</v>
      </c>
    </row>
    <row r="83" spans="3:3" ht="16.5" customHeight="1" x14ac:dyDescent="0.2">
      <c r="C83" s="30" t="e">
        <f ca="1"/>
        <v>#N/A</v>
      </c>
    </row>
    <row r="84" spans="3:3" ht="16.5" customHeight="1" x14ac:dyDescent="0.2">
      <c r="C84" s="30" t="e">
        <f ca="1"/>
        <v>#N/A</v>
      </c>
    </row>
    <row r="85" spans="3:3" ht="16.5" customHeight="1" x14ac:dyDescent="0.2">
      <c r="C85" s="30" t="e">
        <f ca="1"/>
        <v>#N/A</v>
      </c>
    </row>
    <row r="86" spans="3:3" ht="16.5" customHeight="1" x14ac:dyDescent="0.2">
      <c r="C86" s="30" t="e">
        <f ca="1"/>
        <v>#N/A</v>
      </c>
    </row>
    <row r="87" spans="3:3" ht="16.5" customHeight="1" x14ac:dyDescent="0.2">
      <c r="C87" s="30" t="e">
        <f ca="1"/>
        <v>#N/A</v>
      </c>
    </row>
  </sheetData>
  <dataConsolidate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bjectCache">
              <controlPr defaultSize="0" print="0" autoLine="0" autoPict="0" macro="[0]!ClickCache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>
    <tabColor rgb="FFBCD9FB"/>
  </sheetPr>
  <dimension ref="A1:EQ8"/>
  <sheetViews>
    <sheetView workbookViewId="0">
      <selection activeCell="D11" sqref="D11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32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 enableFormatConditionsCalculation="0">
    <tabColor rgb="FFBCD9FB"/>
  </sheetPr>
  <dimension ref="A1:EQ15"/>
  <sheetViews>
    <sheetView workbookViewId="0">
      <selection activeCell="C12" sqref="C12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B7" s="5" t="s">
        <v>6</v>
      </c>
      <c r="C7" s="6" t="s">
        <v>7</v>
      </c>
    </row>
    <row r="8" spans="1:147" ht="16" customHeight="1" x14ac:dyDescent="0.2">
      <c r="B8" s="5" t="s">
        <v>14</v>
      </c>
      <c r="C8" s="1" t="s">
        <v>15</v>
      </c>
    </row>
    <row r="9" spans="1:147" ht="16" customHeight="1" x14ac:dyDescent="0.2">
      <c r="B9" s="5" t="s">
        <v>18</v>
      </c>
      <c r="C9" s="1" t="s">
        <v>19</v>
      </c>
    </row>
    <row r="10" spans="1:147" ht="16" customHeight="1" x14ac:dyDescent="0.2">
      <c r="B10" s="5" t="s">
        <v>8</v>
      </c>
      <c r="C10" s="1" t="b">
        <v>0</v>
      </c>
    </row>
    <row r="11" spans="1:147" ht="16" customHeight="1" x14ac:dyDescent="0.2">
      <c r="B11" s="5" t="s">
        <v>9</v>
      </c>
      <c r="C11" s="1" t="s">
        <v>10</v>
      </c>
    </row>
    <row r="12" spans="1:147" ht="16" customHeight="1" x14ac:dyDescent="0.2">
      <c r="B12" s="5" t="s">
        <v>11</v>
      </c>
      <c r="C12" s="1">
        <v>1</v>
      </c>
    </row>
    <row r="13" spans="1:147" ht="16" customHeight="1" x14ac:dyDescent="0.2">
      <c r="B13" s="5" t="s">
        <v>12</v>
      </c>
      <c r="C13" s="1" t="s">
        <v>13</v>
      </c>
    </row>
    <row r="14" spans="1:147" ht="16" customHeight="1" x14ac:dyDescent="0.2">
      <c r="B14" s="5" t="s">
        <v>16</v>
      </c>
      <c r="C14" s="1">
        <v>5</v>
      </c>
    </row>
    <row r="15" spans="1:147" ht="16" customHeight="1" x14ac:dyDescent="0.2">
      <c r="B15" s="5" t="s">
        <v>20</v>
      </c>
      <c r="C15" s="1" t="s">
        <v>21</v>
      </c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Main</vt:lpstr>
      <vt:lpstr>Template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2017-11-22T13:46:57Z</dcterms:created>
  <dcterms:modified xsi:type="dcterms:W3CDTF">2017-12-03T14:25:32Z</dcterms:modified>
</cp:coreProperties>
</file>